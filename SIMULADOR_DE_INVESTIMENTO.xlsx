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ma\Downloads\"/>
    </mc:Choice>
  </mc:AlternateContent>
  <xr:revisionPtr revIDLastSave="0" documentId="13_ncr:1_{B627DDDB-C235-4AFF-9C3A-BA2A22AF4E52}" xr6:coauthVersionLast="47" xr6:coauthVersionMax="47" xr10:uidLastSave="{00000000-0000-0000-0000-000000000000}"/>
  <bookViews>
    <workbookView xWindow="-108" yWindow="-108" windowWidth="23256" windowHeight="12456" xr2:uid="{85999451-4338-4CBE-A80E-D6EFF84A0D32}"/>
  </bookViews>
  <sheets>
    <sheet name="INVESTMENT" sheetId="1" r:id="rId1"/>
    <sheet name="INFORMAÇÕES" sheetId="2" r:id="rId2"/>
  </sheets>
  <definedNames>
    <definedName name="_xlnm.Print_Area" localSheetId="0">INVESTMENT!$A:$H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5" i="1" l="1"/>
  <c r="D36" i="1"/>
  <c r="D37" i="1"/>
  <c r="D38" i="1"/>
  <c r="D39" i="1"/>
  <c r="D34" i="1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31" i="1"/>
  <c r="D11" i="1"/>
  <c r="D21" i="1"/>
  <c r="E21" i="1" s="1"/>
  <c r="D17" i="1"/>
  <c r="D18" i="1" s="1"/>
  <c r="D23" i="1"/>
  <c r="E23" i="1" s="1"/>
  <c r="D24" i="1"/>
  <c r="E24" i="1" s="1"/>
  <c r="D26" i="1"/>
  <c r="E26" i="1" s="1"/>
  <c r="D27" i="1"/>
  <c r="E27" i="1" s="1"/>
  <c r="D25" i="1"/>
  <c r="E25" i="1" s="1"/>
  <c r="D22" i="1"/>
  <c r="E22" i="1" s="1"/>
  <c r="E37" i="1" l="1"/>
  <c r="E34" i="1"/>
  <c r="E35" i="1"/>
  <c r="E36" i="1"/>
  <c r="E39" i="1"/>
  <c r="E38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<sst xmlns="http://schemas.openxmlformats.org/spreadsheetml/2006/main" count="71" uniqueCount="36">
  <si>
    <t>Quanto investir por mês?</t>
  </si>
  <si>
    <t>Taxa de rendimento mensal?</t>
  </si>
  <si>
    <t>Dividendos mensais?</t>
  </si>
  <si>
    <t>Patrimônio acumulado?</t>
  </si>
  <si>
    <t>INVETIMENTO MENSAL</t>
  </si>
  <si>
    <t>Quanto em 2 anos?</t>
  </si>
  <si>
    <t>Quanto em 5 anos?</t>
  </si>
  <si>
    <t>Quanto em 10 anos?</t>
  </si>
  <si>
    <t>Quanto em 15 anos?</t>
  </si>
  <si>
    <t>Quanto em 20 anos?</t>
  </si>
  <si>
    <t>Quanto em 25 anos?</t>
  </si>
  <si>
    <t>Quanto em 30 anos?</t>
  </si>
  <si>
    <t>Dividendo</t>
  </si>
  <si>
    <t>CONFIGURAÇÕES</t>
  </si>
  <si>
    <t>CENÁRIOS</t>
  </si>
  <si>
    <t xml:space="preserve">Salário </t>
  </si>
  <si>
    <t>Por quantos anos?</t>
  </si>
  <si>
    <t>PERFIL</t>
  </si>
  <si>
    <t>VALOR A SER INVESTIDO POR MÊS</t>
  </si>
  <si>
    <t>Conservador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</si>
  <si>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</si>
  <si>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</si>
  <si>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</si>
  <si>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</si>
  <si>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</si>
  <si>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</si>
  <si>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</si>
  <si>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DESENVOVIMENTOS</t>
  </si>
  <si>
    <t xml:space="preserve">HOTELARIAS </t>
  </si>
  <si>
    <t>%</t>
  </si>
  <si>
    <t>Moderado</t>
  </si>
  <si>
    <t>Agressivo</t>
  </si>
  <si>
    <t>CHAVE</t>
  </si>
  <si>
    <t>TIPOS DE FIIs</t>
  </si>
  <si>
    <t>Sugestão de investimento (30%)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</si>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</sst>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0"/>
      <name val="Baskerville Old Face"/>
      <family val="1"/>
    </font>
    <font>
      <sz val="14"/>
      <color theme="0"/>
      <name val="Baskerville Old Face"/>
      <family val="1"/>
    </font>
    <font>
      <sz val="12"/>
      <color theme="0"/>
      <name val="Baskerville Old Face"/>
      <family val="1"/>
    </font>
    <font>
      <sz val="13"/>
      <color theme="0"/>
      <name val="Baskerville Old Face"/>
      <family val="1"/>
    </font>
  </fonts>
  <fills count="6">
    <fill>
      <patternFill patternType="none"/>
    </fill>
    <fill>
      <patternFill patternType="gray125"/>
    </fill>
    <fill>
      <patternFill patternType="solid">
        <fgColor rgb="FF1C31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27B25"/>
        <bgColor indexed="64"/>
      </patternFill>
    </fill>
  </fills>
  <borders count="6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/>
      <top/>
      <bottom style="thin">
        <color theme="9" tint="0.3999450666829432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thick">
        <color theme="1" tint="4.9989318521683403E-2"/>
      </left>
      <right/>
      <top style="thick">
        <color theme="1" tint="4.9989318521683403E-2"/>
      </top>
      <bottom/>
      <diagonal/>
    </border>
    <border>
      <left/>
      <right/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 style="thick">
        <color theme="1" tint="4.9989318521683403E-2"/>
      </top>
      <bottom/>
      <diagonal/>
    </border>
    <border>
      <left/>
      <right style="thick">
        <color theme="1" tint="4.9989318521683403E-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 style="thick">
        <color theme="1" tint="4.9989318521683403E-2"/>
      </right>
      <top/>
      <bottom style="thin">
        <color theme="9" tint="0.39994506668294322"/>
      </bottom>
      <diagonal/>
    </border>
    <border>
      <left style="thick">
        <color theme="1" tint="4.9989318521683403E-2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thick">
        <color theme="1" tint="4.9989318521683403E-2"/>
      </left>
      <right/>
      <top/>
      <bottom style="thin">
        <color theme="9" tint="0.39994506668294322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thick">
        <color theme="1" tint="4.9989318521683403E-2"/>
      </bottom>
      <diagonal/>
    </border>
    <border>
      <left/>
      <right style="thick">
        <color theme="1" tint="4.9989318521683403E-2"/>
      </right>
      <top style="thin">
        <color theme="9" tint="0.39994506668294322"/>
      </top>
      <bottom style="thick">
        <color theme="1" tint="4.9989318521683403E-2"/>
      </bottom>
      <diagonal/>
    </border>
    <border>
      <left style="thick">
        <color theme="1" tint="4.9989318521683403E-2"/>
      </left>
      <right/>
      <top style="thin">
        <color theme="9" tint="0.39994506668294322"/>
      </top>
      <bottom style="thick">
        <color theme="1" tint="4.9989318521683403E-2"/>
      </bottom>
      <diagonal/>
    </border>
    <border>
      <left/>
      <right style="thin">
        <color theme="9" tint="0.39994506668294322"/>
      </right>
      <top style="thin">
        <color theme="9" tint="0.39994506668294322"/>
      </top>
      <bottom style="thick">
        <color theme="1" tint="4.9989318521683403E-2"/>
      </bottom>
      <diagonal/>
    </border>
    <border>
      <left style="thin">
        <color theme="9" tint="0.59996337778862885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theme="9" tint="0.59996337778862885"/>
      </bottom>
      <diagonal/>
    </border>
    <border>
      <left style="mediumDashDot">
        <color theme="0"/>
      </left>
      <right style="thick">
        <color theme="1" tint="4.9989318521683403E-2"/>
      </right>
      <top style="thick">
        <color theme="1" tint="4.9989318521683403E-2"/>
      </top>
      <bottom/>
      <diagonal/>
    </border>
    <border>
      <left style="thick">
        <color theme="1" tint="4.9989318521683403E-2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ck">
        <color theme="1" tint="4.9989318521683403E-2"/>
      </right>
      <top/>
      <bottom style="thin">
        <color theme="0"/>
      </bottom>
      <diagonal/>
    </border>
    <border>
      <left style="thick">
        <color theme="1" tint="4.9989318521683403E-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1" tint="4.9989318521683403E-2"/>
      </right>
      <top style="thin">
        <color theme="0"/>
      </top>
      <bottom style="thin">
        <color theme="0"/>
      </bottom>
      <diagonal/>
    </border>
    <border>
      <left style="thick">
        <color theme="1" tint="4.9989318521683403E-2"/>
      </left>
      <right style="thin">
        <color theme="0"/>
      </right>
      <top style="thin">
        <color theme="0"/>
      </top>
      <bottom style="thick">
        <color theme="1" tint="4.9989318521683403E-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theme="1" tint="4.9989318521683403E-2"/>
      </bottom>
      <diagonal/>
    </border>
    <border>
      <left style="thin">
        <color theme="0"/>
      </left>
      <right style="thick">
        <color theme="1" tint="4.9989318521683403E-2"/>
      </right>
      <top style="thin">
        <color theme="0"/>
      </top>
      <bottom style="thick">
        <color theme="1" tint="4.9989318521683403E-2"/>
      </bottom>
      <diagonal/>
    </border>
    <border>
      <left style="thick">
        <color auto="1"/>
      </left>
      <right style="thin">
        <color theme="9" tint="0.59996337778862885"/>
      </right>
      <top style="thin">
        <color theme="9" tint="0.59996337778862885"/>
      </top>
      <bottom style="thick">
        <color auto="1"/>
      </bottom>
      <diagonal/>
    </border>
    <border>
      <left style="thin">
        <color theme="9" tint="0.59996337778862885"/>
      </left>
      <right style="thick">
        <color auto="1"/>
      </right>
      <top style="thin">
        <color theme="9" tint="0.59996337778862885"/>
      </top>
      <bottom style="thick">
        <color auto="1"/>
      </bottom>
      <diagonal/>
    </border>
    <border>
      <left/>
      <right/>
      <top style="thin">
        <color theme="9" tint="0.59996337778862885"/>
      </top>
      <bottom style="thin">
        <color theme="9" tint="0.59996337778862885"/>
      </bottom>
      <diagonal/>
    </border>
    <border>
      <left style="thick">
        <color auto="1"/>
      </left>
      <right style="thin">
        <color theme="9" tint="0.59996337778862885"/>
      </right>
      <top/>
      <bottom style="thin">
        <color theme="9" tint="0.59996337778862885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theme="9" tint="0.59996337778862885"/>
      </left>
      <right style="thick">
        <color auto="1"/>
      </right>
      <top/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theme="9" tint="0.59996337778862885"/>
      </top>
      <bottom style="thin">
        <color theme="9" tint="0.59996337778862885"/>
      </bottom>
      <diagonal/>
    </border>
    <border>
      <left style="thin">
        <color theme="9" tint="0.59996337778862885"/>
      </left>
      <right style="thin">
        <color auto="1"/>
      </right>
      <top style="thin">
        <color theme="9" tint="0.59996337778862885"/>
      </top>
      <bottom style="thin">
        <color theme="9" tint="0.59996337778862885"/>
      </bottom>
      <diagonal/>
    </border>
    <border>
      <left style="thin">
        <color auto="1"/>
      </left>
      <right/>
      <top style="thin">
        <color theme="9" tint="0.59996337778862885"/>
      </top>
      <bottom style="thin">
        <color auto="1"/>
      </bottom>
      <diagonal/>
    </border>
    <border>
      <left/>
      <right/>
      <top style="thin">
        <color theme="9" tint="0.59996337778862885"/>
      </top>
      <bottom style="thin">
        <color auto="1"/>
      </bottom>
      <diagonal/>
    </border>
    <border>
      <left style="thin">
        <color theme="9" tint="0.59996337778862885"/>
      </left>
      <right style="thin">
        <color theme="9" tint="0.59996337778862885"/>
      </right>
      <top style="thin">
        <color theme="9" tint="0.59996337778862885"/>
      </top>
      <bottom style="thin">
        <color auto="1"/>
      </bottom>
      <diagonal/>
    </border>
    <border>
      <left style="thin">
        <color theme="9" tint="0.59996337778862885"/>
      </left>
      <right style="thin">
        <color auto="1"/>
      </right>
      <top style="thin">
        <color theme="9" tint="0.59996337778862885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theme="9" tint="0.59996337778862885"/>
      </left>
      <right style="thin">
        <color auto="1"/>
      </right>
      <top/>
      <bottom style="thin">
        <color theme="9" tint="0.59996337778862885"/>
      </bottom>
      <diagonal/>
    </border>
    <border>
      <left style="thin">
        <color auto="1"/>
      </left>
      <right/>
      <top/>
      <bottom style="thin">
        <color theme="9" tint="0.59996337778862885"/>
      </bottom>
      <diagonal/>
    </border>
    <border>
      <left/>
      <right/>
      <top/>
      <bottom style="thin">
        <color theme="9" tint="0.59996337778862885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5" fillId="2" borderId="24" xfId="0" applyFont="1" applyFill="1" applyBorder="1" applyAlignment="1">
      <alignment horizontal="center"/>
    </xf>
    <xf numFmtId="0" fontId="0" fillId="0" borderId="43" xfId="0" applyBorder="1" applyProtection="1">
      <protection locked="0"/>
    </xf>
    <xf numFmtId="0" fontId="0" fillId="0" borderId="44" xfId="0" applyBorder="1" applyProtection="1">
      <protection locked="0"/>
    </xf>
    <xf numFmtId="0" fontId="0" fillId="0" borderId="46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0" fillId="0" borderId="48" xfId="0" applyBorder="1" applyProtection="1">
      <protection locked="0"/>
    </xf>
    <xf numFmtId="0" fontId="0" fillId="0" borderId="49" xfId="0" applyBorder="1" applyProtection="1">
      <protection locked="0"/>
    </xf>
    <xf numFmtId="9" fontId="0" fillId="0" borderId="47" xfId="0" applyNumberFormat="1" applyBorder="1" applyAlignment="1" applyProtection="1">
      <alignment horizontal="center"/>
      <protection locked="0"/>
    </xf>
    <xf numFmtId="9" fontId="0" fillId="0" borderId="50" xfId="0" applyNumberFormat="1" applyBorder="1" applyAlignment="1" applyProtection="1">
      <alignment horizontal="center"/>
      <protection locked="0"/>
    </xf>
    <xf numFmtId="0" fontId="0" fillId="3" borderId="43" xfId="0" applyFill="1" applyBorder="1" applyAlignment="1" applyProtection="1">
      <alignment horizontal="center"/>
      <protection locked="0"/>
    </xf>
    <xf numFmtId="0" fontId="0" fillId="3" borderId="44" xfId="0" applyFill="1" applyBorder="1" applyAlignment="1" applyProtection="1">
      <alignment horizontal="center"/>
      <protection locked="0"/>
    </xf>
    <xf numFmtId="0" fontId="0" fillId="3" borderId="45" xfId="0" applyFill="1" applyBorder="1" applyAlignment="1" applyProtection="1">
      <alignment horizontal="center"/>
      <protection locked="0"/>
    </xf>
    <xf numFmtId="0" fontId="0" fillId="0" borderId="51" xfId="0" applyBorder="1" applyProtection="1">
      <protection locked="0"/>
    </xf>
    <xf numFmtId="0" fontId="0" fillId="0" borderId="3" xfId="0" applyBorder="1" applyProtection="1">
      <protection locked="0"/>
    </xf>
    <xf numFmtId="9" fontId="0" fillId="0" borderId="52" xfId="0" applyNumberFormat="1" applyBorder="1" applyAlignment="1" applyProtection="1">
      <alignment horizontal="center"/>
      <protection locked="0"/>
    </xf>
    <xf numFmtId="0" fontId="0" fillId="0" borderId="44" xfId="0" applyBorder="1"/>
    <xf numFmtId="9" fontId="0" fillId="0" borderId="45" xfId="0" applyNumberFormat="1" applyBorder="1" applyAlignment="1" applyProtection="1">
      <alignment horizontal="center"/>
      <protection locked="0"/>
    </xf>
    <xf numFmtId="0" fontId="0" fillId="4" borderId="36" xfId="0" applyFill="1" applyBorder="1"/>
    <xf numFmtId="0" fontId="0" fillId="4" borderId="56" xfId="0" applyFill="1" applyBorder="1"/>
    <xf numFmtId="164" fontId="0" fillId="4" borderId="59" xfId="0" applyNumberFormat="1" applyFill="1" applyBorder="1" applyAlignment="1">
      <alignment horizontal="center"/>
    </xf>
    <xf numFmtId="0" fontId="4" fillId="2" borderId="38" xfId="0" applyFont="1" applyFill="1" applyBorder="1" applyAlignment="1">
      <alignment horizontal="center" vertical="center"/>
    </xf>
    <xf numFmtId="0" fontId="4" fillId="2" borderId="39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2" fillId="4" borderId="37" xfId="0" applyFont="1" applyFill="1" applyBorder="1" applyAlignment="1">
      <alignment horizontal="left" indent="1"/>
    </xf>
    <xf numFmtId="0" fontId="2" fillId="4" borderId="22" xfId="0" applyFont="1" applyFill="1" applyBorder="1" applyAlignment="1">
      <alignment horizontal="left" indent="1"/>
    </xf>
    <xf numFmtId="0" fontId="2" fillId="4" borderId="34" xfId="0" applyFont="1" applyFill="1" applyBorder="1" applyAlignment="1">
      <alignment horizontal="left" indent="1"/>
    </xf>
    <xf numFmtId="0" fontId="2" fillId="4" borderId="42" xfId="0" applyFont="1" applyFill="1" applyBorder="1" applyAlignment="1">
      <alignment horizontal="left" indent="1"/>
    </xf>
    <xf numFmtId="164" fontId="2" fillId="4" borderId="42" xfId="0" applyNumberFormat="1" applyFont="1" applyFill="1" applyBorder="1" applyAlignment="1">
      <alignment horizontal="center"/>
    </xf>
    <xf numFmtId="164" fontId="2" fillId="4" borderId="35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164" fontId="1" fillId="0" borderId="8" xfId="1" applyNumberFormat="1" applyFont="1" applyFill="1" applyBorder="1" applyAlignment="1" applyProtection="1">
      <alignment horizontal="center"/>
      <protection locked="0"/>
    </xf>
    <xf numFmtId="164" fontId="1" fillId="0" borderId="15" xfId="1" applyNumberFormat="1" applyFont="1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10" fontId="1" fillId="0" borderId="10" xfId="2" applyNumberFormat="1" applyFont="1" applyFill="1" applyBorder="1" applyAlignment="1" applyProtection="1">
      <alignment horizontal="center"/>
      <protection locked="0"/>
    </xf>
    <xf numFmtId="10" fontId="1" fillId="0" borderId="14" xfId="2" applyNumberFormat="1" applyFont="1" applyFill="1" applyBorder="1" applyAlignment="1" applyProtection="1">
      <alignment horizontal="center"/>
      <protection locked="0"/>
    </xf>
    <xf numFmtId="0" fontId="0" fillId="4" borderId="0" xfId="0" applyFill="1" applyBorder="1"/>
    <xf numFmtId="0" fontId="0" fillId="4" borderId="62" xfId="0" applyFill="1" applyBorder="1"/>
    <xf numFmtId="164" fontId="0" fillId="4" borderId="0" xfId="0" applyNumberFormat="1" applyFill="1" applyBorder="1" applyAlignment="1">
      <alignment horizontal="center"/>
    </xf>
    <xf numFmtId="0" fontId="0" fillId="4" borderId="59" xfId="0" applyFill="1" applyBorder="1"/>
    <xf numFmtId="0" fontId="5" fillId="5" borderId="6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0" fillId="2" borderId="0" xfId="0" applyFill="1" applyProtection="1"/>
    <xf numFmtId="0" fontId="0" fillId="0" borderId="0" xfId="0" applyProtection="1"/>
    <xf numFmtId="0" fontId="0" fillId="0" borderId="0" xfId="0" applyBorder="1" applyProtection="1"/>
    <xf numFmtId="0" fontId="4" fillId="0" borderId="0" xfId="0" applyFont="1" applyFill="1" applyBorder="1" applyAlignment="1" applyProtection="1">
      <alignment vertical="center"/>
    </xf>
    <xf numFmtId="0" fontId="2" fillId="4" borderId="17" xfId="0" applyFont="1" applyFill="1" applyBorder="1" applyAlignment="1" applyProtection="1">
      <alignment horizontal="left" indent="1"/>
    </xf>
    <xf numFmtId="0" fontId="2" fillId="4" borderId="7" xfId="0" applyFont="1" applyFill="1" applyBorder="1" applyAlignment="1" applyProtection="1">
      <alignment horizontal="left" indent="1"/>
    </xf>
    <xf numFmtId="0" fontId="2" fillId="4" borderId="16" xfId="0" applyFont="1" applyFill="1" applyBorder="1" applyAlignment="1" applyProtection="1">
      <alignment horizontal="left" indent="1"/>
    </xf>
    <xf numFmtId="0" fontId="2" fillId="4" borderId="9" xfId="0" applyFont="1" applyFill="1" applyBorder="1" applyAlignment="1" applyProtection="1">
      <alignment horizontal="left" indent="1"/>
    </xf>
    <xf numFmtId="0" fontId="2" fillId="4" borderId="20" xfId="0" applyFont="1" applyFill="1" applyBorder="1" applyAlignment="1" applyProtection="1">
      <alignment horizontal="left" indent="1"/>
    </xf>
    <xf numFmtId="0" fontId="2" fillId="4" borderId="21" xfId="0" applyFont="1" applyFill="1" applyBorder="1" applyAlignment="1" applyProtection="1">
      <alignment horizontal="left" indent="1"/>
    </xf>
    <xf numFmtId="8" fontId="2" fillId="4" borderId="10" xfId="0" applyNumberFormat="1" applyFont="1" applyFill="1" applyBorder="1" applyAlignment="1" applyProtection="1">
      <alignment horizontal="center"/>
    </xf>
    <xf numFmtId="8" fontId="2" fillId="4" borderId="14" xfId="0" applyNumberFormat="1" applyFont="1" applyFill="1" applyBorder="1" applyAlignment="1" applyProtection="1">
      <alignment horizontal="center"/>
    </xf>
    <xf numFmtId="8" fontId="2" fillId="4" borderId="18" xfId="0" applyNumberFormat="1" applyFont="1" applyFill="1" applyBorder="1" applyAlignment="1" applyProtection="1">
      <alignment horizontal="center"/>
    </xf>
    <xf numFmtId="8" fontId="2" fillId="4" borderId="19" xfId="0" applyNumberFormat="1" applyFont="1" applyFill="1" applyBorder="1" applyAlignment="1" applyProtection="1">
      <alignment horizontal="center"/>
    </xf>
    <xf numFmtId="0" fontId="2" fillId="4" borderId="25" xfId="0" applyFont="1" applyFill="1" applyBorder="1" applyAlignment="1" applyProtection="1">
      <alignment horizontal="left" indent="1"/>
    </xf>
    <xf numFmtId="0" fontId="2" fillId="4" borderId="26" xfId="0" applyFont="1" applyFill="1" applyBorder="1" applyAlignment="1" applyProtection="1">
      <alignment horizontal="left" indent="1"/>
    </xf>
    <xf numFmtId="8" fontId="0" fillId="4" borderId="26" xfId="0" applyNumberFormat="1" applyFill="1" applyBorder="1" applyAlignment="1" applyProtection="1">
      <alignment horizontal="center"/>
    </xf>
    <xf numFmtId="8" fontId="2" fillId="4" borderId="27" xfId="0" applyNumberFormat="1" applyFont="1" applyFill="1" applyBorder="1" applyAlignment="1" applyProtection="1">
      <alignment horizontal="center"/>
    </xf>
    <xf numFmtId="0" fontId="2" fillId="4" borderId="28" xfId="0" applyFont="1" applyFill="1" applyBorder="1" applyAlignment="1" applyProtection="1">
      <alignment horizontal="left" indent="1"/>
    </xf>
    <xf numFmtId="0" fontId="2" fillId="4" borderId="29" xfId="0" applyFont="1" applyFill="1" applyBorder="1" applyAlignment="1" applyProtection="1">
      <alignment horizontal="left" indent="1"/>
    </xf>
    <xf numFmtId="8" fontId="0" fillId="4" borderId="29" xfId="0" applyNumberFormat="1" applyFill="1" applyBorder="1" applyAlignment="1" applyProtection="1">
      <alignment horizontal="center"/>
    </xf>
    <xf numFmtId="8" fontId="2" fillId="4" borderId="30" xfId="0" applyNumberFormat="1" applyFont="1" applyFill="1" applyBorder="1" applyAlignment="1" applyProtection="1">
      <alignment horizontal="center"/>
    </xf>
    <xf numFmtId="0" fontId="2" fillId="4" borderId="31" xfId="0" applyFont="1" applyFill="1" applyBorder="1" applyAlignment="1" applyProtection="1">
      <alignment horizontal="left" indent="1"/>
    </xf>
    <xf numFmtId="0" fontId="2" fillId="4" borderId="32" xfId="0" applyFont="1" applyFill="1" applyBorder="1" applyAlignment="1" applyProtection="1">
      <alignment horizontal="left" indent="1"/>
    </xf>
    <xf numFmtId="8" fontId="0" fillId="4" borderId="32" xfId="0" applyNumberFormat="1" applyFill="1" applyBorder="1" applyAlignment="1" applyProtection="1">
      <alignment horizontal="center"/>
    </xf>
    <xf numFmtId="8" fontId="2" fillId="4" borderId="33" xfId="0" applyNumberFormat="1" applyFont="1" applyFill="1" applyBorder="1" applyAlignment="1" applyProtection="1">
      <alignment horizontal="center"/>
    </xf>
    <xf numFmtId="0" fontId="4" fillId="5" borderId="4" xfId="0" applyFont="1" applyFill="1" applyBorder="1" applyAlignment="1" applyProtection="1">
      <alignment horizontal="center" vertical="center"/>
    </xf>
    <xf numFmtId="0" fontId="4" fillId="5" borderId="5" xfId="0" applyFont="1" applyFill="1" applyBorder="1" applyAlignment="1" applyProtection="1">
      <alignment vertical="center"/>
    </xf>
    <xf numFmtId="0" fontId="0" fillId="4" borderId="6" xfId="0" applyFill="1" applyBorder="1" applyAlignment="1" applyProtection="1">
      <alignment horizontal="left" indent="1"/>
    </xf>
    <xf numFmtId="0" fontId="0" fillId="4" borderId="0" xfId="0" applyFill="1" applyBorder="1" applyProtection="1"/>
    <xf numFmtId="0" fontId="0" fillId="4" borderId="6" xfId="0" applyFill="1" applyBorder="1" applyProtection="1"/>
    <xf numFmtId="0" fontId="6" fillId="5" borderId="5" xfId="0" applyFont="1" applyFill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5" fillId="5" borderId="0" xfId="0" applyFont="1" applyFill="1" applyBorder="1" applyAlignment="1" applyProtection="1">
      <alignment vertical="center"/>
    </xf>
    <xf numFmtId="0" fontId="5" fillId="5" borderId="59" xfId="0" applyFont="1" applyFill="1" applyBorder="1" applyAlignment="1" applyProtection="1">
      <alignment horizontal="center" vertical="center"/>
    </xf>
    <xf numFmtId="9" fontId="0" fillId="4" borderId="22" xfId="0" applyNumberFormat="1" applyFill="1" applyBorder="1" applyAlignment="1" applyProtection="1">
      <alignment horizontal="center"/>
    </xf>
    <xf numFmtId="164" fontId="0" fillId="4" borderId="60" xfId="0" applyNumberFormat="1" applyFill="1" applyBorder="1" applyAlignment="1" applyProtection="1">
      <alignment horizontal="center"/>
    </xf>
    <xf numFmtId="9" fontId="0" fillId="4" borderId="23" xfId="0" applyNumberFormat="1" applyFill="1" applyBorder="1" applyAlignment="1" applyProtection="1">
      <alignment horizontal="center"/>
    </xf>
    <xf numFmtId="164" fontId="0" fillId="4" borderId="54" xfId="0" applyNumberFormat="1" applyFill="1" applyBorder="1" applyAlignment="1" applyProtection="1">
      <alignment horizontal="center"/>
    </xf>
    <xf numFmtId="9" fontId="0" fillId="4" borderId="57" xfId="0" applyNumberFormat="1" applyFill="1" applyBorder="1" applyAlignment="1" applyProtection="1">
      <alignment horizontal="center"/>
    </xf>
    <xf numFmtId="164" fontId="0" fillId="4" borderId="58" xfId="0" applyNumberFormat="1" applyFill="1" applyBorder="1" applyAlignment="1" applyProtection="1">
      <alignment horizontal="center"/>
    </xf>
    <xf numFmtId="9" fontId="0" fillId="0" borderId="0" xfId="0" applyNumberFormat="1" applyProtection="1"/>
    <xf numFmtId="0" fontId="0" fillId="4" borderId="61" xfId="0" applyFill="1" applyBorder="1" applyAlignment="1" applyProtection="1">
      <alignment horizontal="left" indent="1"/>
    </xf>
    <xf numFmtId="0" fontId="0" fillId="4" borderId="53" xfId="0" applyFill="1" applyBorder="1" applyAlignment="1" applyProtection="1">
      <alignment horizontal="left" indent="1"/>
    </xf>
    <xf numFmtId="0" fontId="0" fillId="4" borderId="55" xfId="0" applyFill="1" applyBorder="1" applyAlignment="1" applyProtection="1">
      <alignment horizontal="left" indent="1"/>
    </xf>
    <xf numFmtId="164" fontId="0" fillId="0" borderId="22" xfId="0" applyNumberFormat="1" applyBorder="1" applyAlignment="1" applyProtection="1">
      <alignment horizontal="center"/>
      <protection locked="0"/>
    </xf>
    <xf numFmtId="164" fontId="0" fillId="0" borderId="41" xfId="0" applyNumberFormat="1" applyBorder="1" applyAlignment="1" applyProtection="1">
      <alignment horizontal="center"/>
      <protection locked="0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627B25"/>
      <color rgb="FFE8FFC9"/>
      <color rgb="FF1C3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167640</xdr:colOff>
      <xdr:row>0</xdr:row>
      <xdr:rowOff>1</xdr:rowOff>
    </xdr:from>
    <xdr:to>
      <xdr:col>5</xdr:col>
      <xdr:colOff>144780</xdr:colOff>
      <xdr:row>6</xdr:row>
      <xdr:rowOff>152401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4226AB2-659D-0F0F-43F9-26F194624A9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83" b="72727"/>
        <a:stretch>
          <a:fillRect/>
        </a:stretch>
      </xdr:blipFill>
      <xdr:spPr>
        <a:xfrm>
          <a:off x="167640" y="1"/>
          <a:ext cx="4930140" cy="12496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Selo seguir estrutura de tópicos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B187D-DCFD-4983-BE72-5BA6503A0127}">
  <dimension ref="A1:I64"/>
  <sheetViews>
    <sheetView showGridLines="0" tabSelected="1" zoomScaleNormal="100" workbookViewId="0">
      <selection activeCell="D30" sqref="D30:E30"/>
    </sheetView>
  </sheetViews>
  <sheetFormatPr defaultColWidth="0" defaultRowHeight="14.4" zeroHeight="1" x14ac:dyDescent="0.3"/>
  <cols>
    <col min="1" max="1" width="8.88671875" style="51" customWidth="1"/>
    <col min="2" max="2" width="28.6640625" style="51" bestFit="1" customWidth="1"/>
    <col min="3" max="3" width="2.77734375" style="51" customWidth="1"/>
    <col min="4" max="4" width="18.44140625" style="51" bestFit="1" customWidth="1"/>
    <col min="5" max="5" width="13.44140625" style="51" customWidth="1"/>
    <col min="6" max="6" width="15.6640625" style="51" customWidth="1"/>
    <col min="7" max="7" width="21.5546875" style="51" bestFit="1" customWidth="1"/>
    <col min="8" max="8" width="11.88671875" style="51" bestFit="1" customWidth="1"/>
    <col min="9" max="9" width="0" style="1" hidden="1" customWidth="1"/>
    <col min="10" max="16384" width="8.88671875" style="1" hidden="1"/>
  </cols>
  <sheetData>
    <row r="1" spans="1:8" s="2" customFormat="1" x14ac:dyDescent="0.3">
      <c r="A1" s="50"/>
      <c r="F1" s="50"/>
      <c r="G1" s="50"/>
      <c r="H1" s="50"/>
    </row>
    <row r="2" spans="1:8" s="2" customFormat="1" x14ac:dyDescent="0.3">
      <c r="A2" s="50"/>
      <c r="F2" s="50"/>
      <c r="G2" s="50"/>
      <c r="H2" s="50"/>
    </row>
    <row r="3" spans="1:8" s="2" customFormat="1" x14ac:dyDescent="0.3">
      <c r="A3" s="50"/>
      <c r="F3" s="50"/>
      <c r="G3" s="50"/>
      <c r="H3" s="50"/>
    </row>
    <row r="4" spans="1:8" s="2" customFormat="1" x14ac:dyDescent="0.3">
      <c r="A4" s="50"/>
      <c r="F4" s="50"/>
      <c r="G4" s="50"/>
      <c r="H4" s="50"/>
    </row>
    <row r="5" spans="1:8" s="2" customFormat="1" x14ac:dyDescent="0.3">
      <c r="A5" s="50"/>
      <c r="F5" s="50"/>
      <c r="G5" s="50"/>
      <c r="H5" s="50"/>
    </row>
    <row r="6" spans="1:8" s="2" customFormat="1" x14ac:dyDescent="0.3">
      <c r="A6" s="50"/>
      <c r="F6" s="50"/>
      <c r="G6" s="50"/>
      <c r="H6" s="50"/>
    </row>
    <row r="7" spans="1:8" s="2" customFormat="1" x14ac:dyDescent="0.3">
      <c r="A7" s="50"/>
      <c r="F7" s="50"/>
      <c r="G7" s="50"/>
      <c r="H7" s="50"/>
    </row>
    <row r="8" spans="1:8" customFormat="1" ht="15" thickBot="1" x14ac:dyDescent="0.35">
      <c r="A8" s="51"/>
      <c r="F8" s="51"/>
      <c r="G8" s="51"/>
      <c r="H8" s="51"/>
    </row>
    <row r="9" spans="1:8" customFormat="1" ht="18.600000000000001" thickTop="1" x14ac:dyDescent="0.3">
      <c r="A9" s="51"/>
      <c r="B9" s="24" t="s">
        <v>13</v>
      </c>
      <c r="C9" s="25"/>
      <c r="D9" s="25"/>
      <c r="E9" s="26"/>
      <c r="F9" s="51"/>
      <c r="G9" s="51"/>
      <c r="H9" s="51"/>
    </row>
    <row r="10" spans="1:8" customFormat="1" x14ac:dyDescent="0.3">
      <c r="A10" s="51"/>
      <c r="B10" s="27" t="s">
        <v>15</v>
      </c>
      <c r="C10" s="28"/>
      <c r="D10" s="95">
        <v>3000</v>
      </c>
      <c r="E10" s="96"/>
      <c r="F10" s="51"/>
      <c r="G10" s="51"/>
      <c r="H10" s="51"/>
    </row>
    <row r="11" spans="1:8" customFormat="1" ht="15" thickBot="1" x14ac:dyDescent="0.35">
      <c r="A11" s="51"/>
      <c r="B11" s="29" t="s">
        <v>34</v>
      </c>
      <c r="C11" s="30"/>
      <c r="D11" s="31">
        <f>D10*30%</f>
        <v>900</v>
      </c>
      <c r="E11" s="32"/>
      <c r="F11" s="51"/>
      <c r="G11" s="51"/>
      <c r="H11" s="51"/>
    </row>
    <row r="12" spans="1:8" customFormat="1" ht="15.6" thickTop="1" thickBot="1" x14ac:dyDescent="0.35">
      <c r="A12" s="51"/>
      <c r="F12" s="51"/>
      <c r="G12" s="51"/>
      <c r="H12" s="51"/>
    </row>
    <row r="13" spans="1:8" ht="34.799999999999997" customHeight="1" thickTop="1" x14ac:dyDescent="0.3">
      <c r="B13" s="33" t="s">
        <v>4</v>
      </c>
      <c r="C13" s="34"/>
      <c r="D13" s="34"/>
      <c r="E13" s="35"/>
    </row>
    <row r="14" spans="1:8" x14ac:dyDescent="0.3">
      <c r="B14" s="54" t="s">
        <v>0</v>
      </c>
      <c r="C14" s="55"/>
      <c r="D14" s="38">
        <v>900</v>
      </c>
      <c r="E14" s="39"/>
    </row>
    <row r="15" spans="1:8" x14ac:dyDescent="0.3">
      <c r="B15" s="56" t="s">
        <v>16</v>
      </c>
      <c r="C15" s="57"/>
      <c r="D15" s="40">
        <v>3</v>
      </c>
      <c r="E15" s="41"/>
    </row>
    <row r="16" spans="1:8" x14ac:dyDescent="0.3">
      <c r="B16" s="56" t="s">
        <v>1</v>
      </c>
      <c r="C16" s="57"/>
      <c r="D16" s="42">
        <v>1.057E-2</v>
      </c>
      <c r="E16" s="43"/>
    </row>
    <row r="17" spans="2:6" x14ac:dyDescent="0.3">
      <c r="B17" s="56" t="s">
        <v>3</v>
      </c>
      <c r="C17" s="57"/>
      <c r="D17" s="60">
        <f>FV(D16,D15*12,D14*-1)</f>
        <v>39178.218127917418</v>
      </c>
      <c r="E17" s="61"/>
    </row>
    <row r="18" spans="2:6" ht="15" thickBot="1" x14ac:dyDescent="0.35">
      <c r="B18" s="58" t="s">
        <v>2</v>
      </c>
      <c r="C18" s="59"/>
      <c r="D18" s="62">
        <f>D17*D16</f>
        <v>414.11376561208709</v>
      </c>
      <c r="E18" s="63"/>
    </row>
    <row r="19" spans="2:6" ht="15.6" thickTop="1" thickBot="1" x14ac:dyDescent="0.35"/>
    <row r="20" spans="2:6" ht="18.600000000000001" thickTop="1" x14ac:dyDescent="0.3">
      <c r="B20" s="36" t="s">
        <v>14</v>
      </c>
      <c r="C20" s="37"/>
      <c r="D20" s="37"/>
      <c r="E20" s="3" t="s">
        <v>12</v>
      </c>
    </row>
    <row r="21" spans="2:6" x14ac:dyDescent="0.3">
      <c r="B21" s="64" t="s">
        <v>5</v>
      </c>
      <c r="C21" s="65"/>
      <c r="D21" s="66">
        <f>FV($D$16,2*12,$D$14*-1)</f>
        <v>24440.893730581953</v>
      </c>
      <c r="E21" s="67">
        <f t="shared" ref="E21:E27" si="0">D21*$D$16</f>
        <v>258.34024673225122</v>
      </c>
    </row>
    <row r="22" spans="2:6" x14ac:dyDescent="0.3">
      <c r="B22" s="68" t="s">
        <v>6</v>
      </c>
      <c r="C22" s="69"/>
      <c r="D22" s="70">
        <f>FV($D$16,5*12,$D$14*-1)</f>
        <v>74865.012455939519</v>
      </c>
      <c r="E22" s="71">
        <f t="shared" si="0"/>
        <v>791.32318165928064</v>
      </c>
    </row>
    <row r="23" spans="2:6" x14ac:dyDescent="0.3">
      <c r="B23" s="68" t="s">
        <v>7</v>
      </c>
      <c r="C23" s="69"/>
      <c r="D23" s="70">
        <f>FV($D$16,10*12,$D$14*-1)</f>
        <v>215554.93585809655</v>
      </c>
      <c r="E23" s="71">
        <f t="shared" si="0"/>
        <v>2278.4156720200804</v>
      </c>
    </row>
    <row r="24" spans="2:6" x14ac:dyDescent="0.3">
      <c r="B24" s="68" t="s">
        <v>8</v>
      </c>
      <c r="C24" s="69"/>
      <c r="D24" s="70">
        <f>FV($D$16,15*12,$D$14*-1)</f>
        <v>479946.19016469287</v>
      </c>
      <c r="E24" s="71">
        <f t="shared" si="0"/>
        <v>5073.0312300408032</v>
      </c>
    </row>
    <row r="25" spans="2:6" x14ac:dyDescent="0.3">
      <c r="B25" s="68" t="s">
        <v>9</v>
      </c>
      <c r="C25" s="69"/>
      <c r="D25" s="70">
        <f>FV($D$16,20*12,$D$14*-1)</f>
        <v>976802.9206499377</v>
      </c>
      <c r="E25" s="71">
        <f t="shared" si="0"/>
        <v>10324.80687126984</v>
      </c>
    </row>
    <row r="26" spans="2:6" x14ac:dyDescent="0.3">
      <c r="B26" s="68" t="s">
        <v>10</v>
      </c>
      <c r="C26" s="69"/>
      <c r="D26" s="70">
        <f>FV($D$16,25*12,$D$14*-1)</f>
        <v>1910519.9275756399</v>
      </c>
      <c r="E26" s="71">
        <f t="shared" si="0"/>
        <v>20194.195634474512</v>
      </c>
    </row>
    <row r="27" spans="2:6" ht="15" thickBot="1" x14ac:dyDescent="0.35">
      <c r="B27" s="72" t="s">
        <v>11</v>
      </c>
      <c r="C27" s="73"/>
      <c r="D27" s="74">
        <f>FV($D$16,30*12,$D$14*-1)</f>
        <v>3665205.7263789284</v>
      </c>
      <c r="E27" s="75">
        <f t="shared" si="0"/>
        <v>38741.224527825274</v>
      </c>
    </row>
    <row r="28" spans="2:6" ht="15" thickTop="1" x14ac:dyDescent="0.3"/>
    <row r="29" spans="2:6" x14ac:dyDescent="0.3"/>
    <row r="30" spans="2:6" ht="18" x14ac:dyDescent="0.3">
      <c r="B30" s="76" t="s">
        <v>17</v>
      </c>
      <c r="C30" s="77" t="s">
        <v>35</v>
      </c>
      <c r="D30" s="81" t="s">
        <v>30</v>
      </c>
      <c r="E30" s="82"/>
    </row>
    <row r="31" spans="2:6" x14ac:dyDescent="0.3">
      <c r="B31" s="78" t="s">
        <v>18</v>
      </c>
      <c r="C31" s="79"/>
      <c r="D31" s="46">
        <f>D14</f>
        <v>900</v>
      </c>
      <c r="E31" s="23"/>
    </row>
    <row r="32" spans="2:6" x14ac:dyDescent="0.3">
      <c r="B32" s="80"/>
      <c r="C32" s="79"/>
      <c r="D32" s="44"/>
      <c r="E32" s="47"/>
      <c r="F32" s="52"/>
    </row>
    <row r="33" spans="2:6" ht="18" x14ac:dyDescent="0.3">
      <c r="B33" s="48" t="s">
        <v>20</v>
      </c>
      <c r="C33" s="49"/>
      <c r="D33" s="83" t="s">
        <v>21</v>
      </c>
      <c r="E33" s="84" t="s">
        <v>22</v>
      </c>
      <c r="F33" s="53"/>
    </row>
    <row r="34" spans="2:6" x14ac:dyDescent="0.3">
      <c r="B34" s="92" t="s">
        <v>23</v>
      </c>
      <c r="C34" s="45" t="e" vm="1">
        <v>#VALUE!</v>
      </c>
      <c r="D34" s="85">
        <f>VLOOKUP($D$30&amp;"-"&amp;INFORMAÇÕES!D3,INFORMAÇÕES!B2:E20,4,FALSE)</f>
        <v>0.32</v>
      </c>
      <c r="E34" s="86">
        <f>D34*$D$31</f>
        <v>288</v>
      </c>
    </row>
    <row r="35" spans="2:6" x14ac:dyDescent="0.3">
      <c r="B35" s="93" t="s">
        <v>24</v>
      </c>
      <c r="C35" s="21" t="e" vm="1">
        <v>#VALUE!</v>
      </c>
      <c r="D35" s="87">
        <f>VLOOKUP($D$30&amp;"-"&amp;INFORMAÇÕES!D4,INFORMAÇÕES!B3:E21,4,FALSE)</f>
        <v>0.4</v>
      </c>
      <c r="E35" s="88">
        <f>D35*$D$31</f>
        <v>360</v>
      </c>
    </row>
    <row r="36" spans="2:6" x14ac:dyDescent="0.3">
      <c r="B36" s="93" t="s">
        <v>25</v>
      </c>
      <c r="C36" s="21" t="e" vm="1">
        <v>#VALUE!</v>
      </c>
      <c r="D36" s="87">
        <f>VLOOKUP($D$30&amp;"-"&amp;INFORMAÇÕES!D5,INFORMAÇÕES!B4:E22,4,FALSE)</f>
        <v>0.08</v>
      </c>
      <c r="E36" s="88">
        <f t="shared" ref="E36:E39" si="1">D36*$D$31</f>
        <v>72</v>
      </c>
    </row>
    <row r="37" spans="2:6" x14ac:dyDescent="0.3">
      <c r="B37" s="93" t="s">
        <v>26</v>
      </c>
      <c r="C37" s="21" t="e" vm="1">
        <v>#VALUE!</v>
      </c>
      <c r="D37" s="87">
        <f>VLOOKUP($D$30&amp;"-"&amp;INFORMAÇÕES!D6,INFORMAÇÕES!B5:E23,4,FALSE)</f>
        <v>0.1</v>
      </c>
      <c r="E37" s="88">
        <f t="shared" si="1"/>
        <v>90</v>
      </c>
    </row>
    <row r="38" spans="2:6" x14ac:dyDescent="0.3">
      <c r="B38" s="93" t="s">
        <v>27</v>
      </c>
      <c r="C38" s="21" t="e" vm="1">
        <v>#VALUE!</v>
      </c>
      <c r="D38" s="87">
        <f>VLOOKUP($D$30&amp;"-"&amp;INFORMAÇÕES!D7,INFORMAÇÕES!B6:E24,4,FALSE)</f>
        <v>0.1</v>
      </c>
      <c r="E38" s="88">
        <f t="shared" si="1"/>
        <v>90</v>
      </c>
    </row>
    <row r="39" spans="2:6" x14ac:dyDescent="0.3">
      <c r="B39" s="94" t="s">
        <v>28</v>
      </c>
      <c r="C39" s="22" t="e" vm="1">
        <v>#VALUE!</v>
      </c>
      <c r="D39" s="89">
        <f>VLOOKUP($D$30&amp;"-"&amp;INFORMAÇÕES!D8,INFORMAÇÕES!B7:E25,4,FALSE)</f>
        <v>0.1</v>
      </c>
      <c r="E39" s="90">
        <f t="shared" si="1"/>
        <v>90</v>
      </c>
    </row>
    <row r="40" spans="2:6" x14ac:dyDescent="0.3"/>
    <row r="41" spans="2:6" x14ac:dyDescent="0.3"/>
    <row r="42" spans="2:6" x14ac:dyDescent="0.3"/>
    <row r="43" spans="2:6" x14ac:dyDescent="0.3"/>
    <row r="44" spans="2:6" x14ac:dyDescent="0.3"/>
    <row r="45" spans="2:6" x14ac:dyDescent="0.3"/>
    <row r="46" spans="2:6" x14ac:dyDescent="0.3"/>
    <row r="47" spans="2:6" x14ac:dyDescent="0.3">
      <c r="E47" s="91"/>
    </row>
    <row r="48" spans="2:6" x14ac:dyDescent="0.3">
      <c r="E48" s="91"/>
    </row>
    <row r="49" spans="5:5" x14ac:dyDescent="0.3">
      <c r="E49" s="91"/>
    </row>
    <row r="50" spans="5:5" x14ac:dyDescent="0.3">
      <c r="E50" s="91"/>
    </row>
    <row r="51" spans="5:5" hidden="1" x14ac:dyDescent="0.3">
      <c r="E51" s="91"/>
    </row>
    <row r="52" spans="5:5" hidden="1" x14ac:dyDescent="0.3">
      <c r="E52" s="91"/>
    </row>
    <row r="53" spans="5:5" hidden="1" x14ac:dyDescent="0.3">
      <c r="E53" s="91"/>
    </row>
    <row r="54" spans="5:5" hidden="1" x14ac:dyDescent="0.3">
      <c r="E54" s="91"/>
    </row>
    <row r="55" spans="5:5" hidden="1" x14ac:dyDescent="0.3">
      <c r="E55" s="91"/>
    </row>
    <row r="56" spans="5:5" hidden="1" x14ac:dyDescent="0.3">
      <c r="E56" s="91"/>
    </row>
    <row r="57" spans="5:5" hidden="1" x14ac:dyDescent="0.3">
      <c r="E57" s="91"/>
    </row>
    <row r="58" spans="5:5" hidden="1" x14ac:dyDescent="0.3">
      <c r="E58" s="91"/>
    </row>
    <row r="59" spans="5:5" hidden="1" x14ac:dyDescent="0.3">
      <c r="E59" s="91"/>
    </row>
    <row r="60" spans="5:5" hidden="1" x14ac:dyDescent="0.3">
      <c r="E60" s="91"/>
    </row>
    <row r="61" spans="5:5" hidden="1" x14ac:dyDescent="0.3">
      <c r="E61" s="91"/>
    </row>
    <row r="62" spans="5:5" hidden="1" x14ac:dyDescent="0.3">
      <c r="E62" s="91"/>
    </row>
    <row r="63" spans="5:5" hidden="1" x14ac:dyDescent="0.3">
      <c r="E63" s="91"/>
    </row>
    <row r="64" spans="5:5" hidden="1" x14ac:dyDescent="0.3">
      <c r="E64" s="91"/>
    </row>
  </sheetData>
  <sheetProtection algorithmName="SHA-512" hashValue="GUSrjd7iloo3Y57mUhSUuhRs2NOwdii47NCA1Md3OxcEvUBz1gX/EVDkIAdAR6njJn98Ww8WPDfhrOB/VCg12w==" saltValue="LUS2M5Q4sJkVqdTJiJt+Bg==" spinCount="100000" sheet="1" selectLockedCells="1"/>
  <mergeCells count="27">
    <mergeCell ref="D18:E18"/>
    <mergeCell ref="B13:E13"/>
    <mergeCell ref="B20:D20"/>
    <mergeCell ref="B14:C14"/>
    <mergeCell ref="B15:C15"/>
    <mergeCell ref="B16:C16"/>
    <mergeCell ref="B17:C17"/>
    <mergeCell ref="D14:E14"/>
    <mergeCell ref="D15:E15"/>
    <mergeCell ref="D16:E16"/>
    <mergeCell ref="D17:E17"/>
    <mergeCell ref="B33:C33"/>
    <mergeCell ref="D30:E30"/>
    <mergeCell ref="D31:E31"/>
    <mergeCell ref="B9:E9"/>
    <mergeCell ref="B10:C10"/>
    <mergeCell ref="B11:C11"/>
    <mergeCell ref="D10:E10"/>
    <mergeCell ref="D11:E11"/>
    <mergeCell ref="B27:C27"/>
    <mergeCell ref="B21:C21"/>
    <mergeCell ref="B22:C22"/>
    <mergeCell ref="B23:C23"/>
    <mergeCell ref="B24:C24"/>
    <mergeCell ref="B25:C25"/>
    <mergeCell ref="B26:C26"/>
    <mergeCell ref="B18:C18"/>
  </mergeCells>
  <dataValidations count="12">
    <dataValidation allowBlank="1" showInputMessage="1" showErrorMessage="1" promptTitle="Orientação:" prompt="Digite a informação solicitada neste campo." sqref="D10:E10" xr:uid="{BDB9B926-F513-4759-B15A-A512185D46DF}"/>
    <dataValidation allowBlank="1" showInputMessage="1" showErrorMessage="1" promptTitle="Orientação:" prompt="DIgite neste campo quanto irá investir." sqref="D14:E14" xr:uid="{ABDDDEF4-B242-4B07-BED9-6E22963FBB2B}"/>
    <dataValidation allowBlank="1" showInputMessage="1" showErrorMessage="1" promptTitle="Orientação:" prompt="Digite neste campo por quanos anos irá investir." sqref="D15:E15" xr:uid="{6CF87F98-3262-4AF0-A842-32C223A6C065}"/>
    <dataValidation allowBlank="1" showInputMessage="1" showErrorMessage="1" promptTitle="Atenção:" prompt="Digite neste campo a TAXA DE RENDIMENTO MENSAL DO INVESTIMENTO em porcentagem (%). Consulte essa informação no aplicativo ou site da intituição financeira." sqref="D16:E16" xr:uid="{26568CA2-4C0A-4086-8753-D6FE36217F1C}"/>
    <dataValidation type="list" allowBlank="1" showInputMessage="1" showErrorMessage="1" sqref="D30" xr:uid="{79219C54-54EA-4589-8B7E-68DA2404782B}">
      <formula1>"Conservador,Moderado,Agressivo"</formula1>
    </dataValidation>
    <dataValidation errorStyle="information" allowBlank="1" showInputMessage="1" showErrorMessage="1" errorTitle="FII DE PAPEL" error="INVESTIMENTO" promptTitle="FII DE PAPEL" prompt="Investem diretamente em imóveis físicos com o obejetivo de gerar renda com aluguel." sqref="B34 D59 D47 D53" xr:uid="{9EA068F8-C120-4C74-A74E-C0B47DA2AB3F}"/>
    <dataValidation errorStyle="information" allowBlank="1" showInputMessage="1" showErrorMessage="1" errorTitle="FII DE PAPEL" error="INVESTIMENTO" promptTitle="FII DE PAPEL" prompt="Investem em títulos e valores mobiliários ligados ao setor imobiliário." sqref="C34" xr:uid="{9869ECFC-22E9-4760-9EE3-26EFB5E9D64A}"/>
    <dataValidation errorStyle="information" allowBlank="1" showInputMessage="1" showErrorMessage="1" errorTitle="FII DE PAPEL" error="INVESTIMENTO" promptTitle="FII HÍBRIDO" prompt="Combina ativos de tijolo e de papel, buscando diversificação e maior flexibilidade." sqref="C36" xr:uid="{53A044CC-C601-424E-8AED-F1AA0CF4CE1E}"/>
    <dataValidation errorStyle="information" allowBlank="1" showInputMessage="1" showErrorMessage="1" errorTitle="FII DE PAPEL" error="INVESTIMENTO" promptTitle="FII DE FUNDOS" prompt="Investe em cotas de outros FIIs, funcionando como um fundo de fundos." sqref="C37" xr:uid="{AFBF49C5-8E60-47DC-AF2A-36D7A34A029F}"/>
    <dataValidation errorStyle="information" allowBlank="1" showInputMessage="1" showErrorMessage="1" errorTitle="FII DE PAPEL" error="INVESTIMENTO" promptTitle="FII DE DESENVOLVIMENTO" prompt="Focados na construção ou incorporação de imóveis para posterior venda ou locação." sqref="C38" xr:uid="{9F15198E-9110-42C4-9393-51AFB3809DAD}"/>
    <dataValidation errorStyle="information" allowBlank="1" showInputMessage="1" showErrorMessage="1" errorTitle="FII DE PAPEL" error="INVESTIMENTO" promptTitle="FII DE HOTELARIAS" prompt="Focados em imóveis de setor hoteleiro de turismo." sqref="C39" xr:uid="{EE5E92E8-C071-44FD-A9B8-37F65EE56910}"/>
    <dataValidation errorStyle="information" allowBlank="1" showInputMessage="1" showErrorMessage="1" errorTitle="FII DE PAPEL" error="INVESTIMENTO" promptTitle="FII DE TIJOLO" prompt="Investem diretamente em imóveis físicos com o obejetivo de gerar renda com aluguel." sqref="C35" xr:uid="{AAC0F227-2187-400E-92B6-189220868A08}"/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D4EC6-EDCC-44A0-A442-8CBF21B41FF7}">
  <dimension ref="B1:E21"/>
  <sheetViews>
    <sheetView workbookViewId="0">
      <selection activeCell="C26" sqref="C26"/>
    </sheetView>
  </sheetViews>
  <sheetFormatPr defaultRowHeight="14.4" x14ac:dyDescent="0.3"/>
  <cols>
    <col min="2" max="2" width="28.88671875" bestFit="1" customWidth="1"/>
    <col min="3" max="3" width="11.21875" bestFit="1" customWidth="1"/>
    <col min="4" max="4" width="17.77734375" bestFit="1" customWidth="1"/>
  </cols>
  <sheetData>
    <row r="1" spans="2:5" ht="15" thickBot="1" x14ac:dyDescent="0.35"/>
    <row r="2" spans="2:5" ht="15" thickTop="1" x14ac:dyDescent="0.3">
      <c r="B2" s="13" t="s">
        <v>32</v>
      </c>
      <c r="C2" s="14" t="s">
        <v>17</v>
      </c>
      <c r="D2" s="14" t="s">
        <v>33</v>
      </c>
      <c r="E2" s="15" t="s">
        <v>29</v>
      </c>
    </row>
    <row r="3" spans="2:5" x14ac:dyDescent="0.3">
      <c r="B3" s="6" t="str">
        <f>C3&amp;"-"&amp;D3</f>
        <v>Conservador-PAPEL</v>
      </c>
      <c r="C3" s="7" t="s">
        <v>19</v>
      </c>
      <c r="D3" s="8" t="s">
        <v>23</v>
      </c>
      <c r="E3" s="11">
        <v>0.3</v>
      </c>
    </row>
    <row r="4" spans="2:5" x14ac:dyDescent="0.3">
      <c r="B4" s="6" t="str">
        <f>C4&amp;"-"&amp;D4</f>
        <v>Conservador-TIJOLO</v>
      </c>
      <c r="C4" s="7" t="s">
        <v>19</v>
      </c>
      <c r="D4" s="7" t="s">
        <v>24</v>
      </c>
      <c r="E4" s="11">
        <v>0.5</v>
      </c>
    </row>
    <row r="5" spans="2:5" x14ac:dyDescent="0.3">
      <c r="B5" s="6" t="str">
        <f t="shared" ref="B5:B20" si="0">C5&amp;"-"&amp;D5</f>
        <v>Conservador-HÍBRIDOS</v>
      </c>
      <c r="C5" s="7" t="s">
        <v>19</v>
      </c>
      <c r="D5" s="7" t="s">
        <v>25</v>
      </c>
      <c r="E5" s="11">
        <v>0.1</v>
      </c>
    </row>
    <row r="6" spans="2:5" x14ac:dyDescent="0.3">
      <c r="B6" s="6" t="str">
        <f t="shared" si="0"/>
        <v>Conservador-FOFs</v>
      </c>
      <c r="C6" s="7" t="s">
        <v>19</v>
      </c>
      <c r="D6" s="7" t="s">
        <v>26</v>
      </c>
      <c r="E6" s="11">
        <v>0.1</v>
      </c>
    </row>
    <row r="7" spans="2:5" x14ac:dyDescent="0.3">
      <c r="B7" s="6" t="str">
        <f t="shared" si="0"/>
        <v>Conservador-DESENVOVIMENTOS</v>
      </c>
      <c r="C7" s="7" t="s">
        <v>19</v>
      </c>
      <c r="D7" s="7" t="s">
        <v>27</v>
      </c>
      <c r="E7" s="11">
        <v>0</v>
      </c>
    </row>
    <row r="8" spans="2:5" ht="15" thickBot="1" x14ac:dyDescent="0.35">
      <c r="B8" s="16" t="str">
        <f t="shared" si="0"/>
        <v xml:space="preserve">Conservador-HOTELARIAS </v>
      </c>
      <c r="C8" s="17" t="s">
        <v>19</v>
      </c>
      <c r="D8" s="17" t="s">
        <v>28</v>
      </c>
      <c r="E8" s="18">
        <v>0</v>
      </c>
    </row>
    <row r="9" spans="2:5" ht="15" thickTop="1" x14ac:dyDescent="0.3">
      <c r="B9" s="4" t="str">
        <f>C9&amp;"-"&amp;D9</f>
        <v>Moderado-PAPEL</v>
      </c>
      <c r="C9" s="5" t="s">
        <v>30</v>
      </c>
      <c r="D9" s="19" t="s">
        <v>23</v>
      </c>
      <c r="E9" s="20">
        <v>0.32</v>
      </c>
    </row>
    <row r="10" spans="2:5" x14ac:dyDescent="0.3">
      <c r="B10" s="6" t="str">
        <f t="shared" si="0"/>
        <v>Moderado-TIJOLO</v>
      </c>
      <c r="C10" s="7" t="s">
        <v>30</v>
      </c>
      <c r="D10" s="7" t="s">
        <v>24</v>
      </c>
      <c r="E10" s="11">
        <v>0.4</v>
      </c>
    </row>
    <row r="11" spans="2:5" x14ac:dyDescent="0.3">
      <c r="B11" s="6" t="str">
        <f t="shared" si="0"/>
        <v>Moderado-HÍBRIDOS</v>
      </c>
      <c r="C11" s="7" t="s">
        <v>30</v>
      </c>
      <c r="D11" s="7" t="s">
        <v>25</v>
      </c>
      <c r="E11" s="11">
        <v>0.08</v>
      </c>
    </row>
    <row r="12" spans="2:5" x14ac:dyDescent="0.3">
      <c r="B12" s="6" t="str">
        <f t="shared" si="0"/>
        <v>Moderado-FOFs</v>
      </c>
      <c r="C12" s="7" t="s">
        <v>30</v>
      </c>
      <c r="D12" s="7" t="s">
        <v>26</v>
      </c>
      <c r="E12" s="11">
        <v>0.1</v>
      </c>
    </row>
    <row r="13" spans="2:5" x14ac:dyDescent="0.3">
      <c r="B13" s="6" t="str">
        <f t="shared" si="0"/>
        <v>Moderado-DESENVOVIMENTOS</v>
      </c>
      <c r="C13" s="7" t="s">
        <v>30</v>
      </c>
      <c r="D13" s="7" t="s">
        <v>27</v>
      </c>
      <c r="E13" s="11">
        <v>0.1</v>
      </c>
    </row>
    <row r="14" spans="2:5" ht="15" thickBot="1" x14ac:dyDescent="0.35">
      <c r="B14" s="16" t="str">
        <f t="shared" si="0"/>
        <v xml:space="preserve">Moderado-HOTELARIAS </v>
      </c>
      <c r="C14" s="17" t="s">
        <v>30</v>
      </c>
      <c r="D14" s="17" t="s">
        <v>28</v>
      </c>
      <c r="E14" s="18">
        <v>0.1</v>
      </c>
    </row>
    <row r="15" spans="2:5" ht="15" thickTop="1" x14ac:dyDescent="0.3">
      <c r="B15" s="4" t="str">
        <f t="shared" si="0"/>
        <v>Agressivo-PAPEL</v>
      </c>
      <c r="C15" s="5" t="s">
        <v>31</v>
      </c>
      <c r="D15" s="19" t="s">
        <v>23</v>
      </c>
      <c r="E15" s="20">
        <v>0.5</v>
      </c>
    </row>
    <row r="16" spans="2:5" x14ac:dyDescent="0.3">
      <c r="B16" s="6" t="str">
        <f t="shared" si="0"/>
        <v>Agressivo-TIJOLO</v>
      </c>
      <c r="C16" s="7" t="s">
        <v>31</v>
      </c>
      <c r="D16" s="7" t="s">
        <v>24</v>
      </c>
      <c r="E16" s="11">
        <v>0.1</v>
      </c>
    </row>
    <row r="17" spans="2:5" x14ac:dyDescent="0.3">
      <c r="B17" s="6" t="str">
        <f t="shared" si="0"/>
        <v>Agressivo-HÍBRIDOS</v>
      </c>
      <c r="C17" s="7" t="s">
        <v>31</v>
      </c>
      <c r="D17" s="7" t="s">
        <v>25</v>
      </c>
      <c r="E17" s="11">
        <v>0.05</v>
      </c>
    </row>
    <row r="18" spans="2:5" x14ac:dyDescent="0.3">
      <c r="B18" s="6" t="str">
        <f t="shared" si="0"/>
        <v>Agressivo-FOFs</v>
      </c>
      <c r="C18" s="7" t="s">
        <v>31</v>
      </c>
      <c r="D18" s="7" t="s">
        <v>26</v>
      </c>
      <c r="E18" s="11">
        <v>0.05</v>
      </c>
    </row>
    <row r="19" spans="2:5" x14ac:dyDescent="0.3">
      <c r="B19" s="6" t="str">
        <f t="shared" si="0"/>
        <v>Agressivo-DESENVOVIMENTOS</v>
      </c>
      <c r="C19" s="7" t="s">
        <v>31</v>
      </c>
      <c r="D19" s="7" t="s">
        <v>27</v>
      </c>
      <c r="E19" s="11">
        <v>0.2</v>
      </c>
    </row>
    <row r="20" spans="2:5" ht="15" thickBot="1" x14ac:dyDescent="0.35">
      <c r="B20" s="9" t="str">
        <f t="shared" si="0"/>
        <v xml:space="preserve">Agressivo-HOTELARIAS </v>
      </c>
      <c r="C20" s="10" t="s">
        <v>31</v>
      </c>
      <c r="D20" s="10" t="s">
        <v>28</v>
      </c>
      <c r="E20" s="12">
        <v>0.1</v>
      </c>
    </row>
    <row r="21" spans="2:5" ht="15" thickTop="1" x14ac:dyDescent="0.3"/>
  </sheetData>
  <dataValidations count="1">
    <dataValidation errorStyle="information" allowBlank="1" showInputMessage="1" showErrorMessage="1" errorTitle="FII DE PAPEL" error="INVESTIMENTO" promptTitle="FII DE PAPEL" prompt="Investem diretamente em imóveis físicos com o obejetivo de gerar renda com aluguel." sqref="D3 D9 D15" xr:uid="{F6994067-738F-4F03-820B-4B01240F1C2C}"/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INVESTMENT</vt:lpstr>
      <vt:lpstr>INFORMAÇÕES</vt:lpstr>
      <vt:lpstr>INVESTMENT!Area_de_impressao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Maria Alves</dc:creator>
  <cp:lastModifiedBy>Ana Maria Alves</cp:lastModifiedBy>
  <dcterms:created xsi:type="dcterms:W3CDTF">2026-08-15T13:06:59Z</dcterms:created>
  <dcterms:modified xsi:type="dcterms:W3CDTF">2026-08-16T13:14:21Z</dcterms:modified>
</cp:coreProperties>
</file>